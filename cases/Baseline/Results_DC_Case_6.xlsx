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prbrahmbhatt_wisc_edu/Documents/Project/Javiera's Model/DATA Center/old model/Model_Run_Scaled/Baseline/"/>
    </mc:Choice>
  </mc:AlternateContent>
  <xr:revisionPtr revIDLastSave="1" documentId="115_{A759BE14-6773-2C48-99CE-EEE3596B0C29}" xr6:coauthVersionLast="47" xr6:coauthVersionMax="47" xr10:uidLastSave="{B4F552F6-2378-B341-8F70-F9B35FFC38EC}"/>
  <bookViews>
    <workbookView xWindow="380" yWindow="600" windowWidth="28040" windowHeight="17040" firstSheet="1" activeTab="8" xr2:uid="{52D9C27D-0EF6-DD41-9728-0267E68F7539}"/>
  </bookViews>
  <sheets>
    <sheet name="Sheet1" sheetId="1" r:id="rId1"/>
    <sheet name="Metadata" sheetId="2" r:id="rId2"/>
    <sheet name="Capacity_Exp_Dec" sheetId="3" r:id="rId3"/>
    <sheet name="Land_use" sheetId="4" r:id="rId4"/>
    <sheet name="EoL_summary" sheetId="5" r:id="rId5"/>
    <sheet name="LCOE_annual" sheetId="6" r:id="rId6"/>
    <sheet name="LCOE_breakdown" sheetId="7" r:id="rId7"/>
    <sheet name="Costs_summary" sheetId="8" r:id="rId8"/>
    <sheet name="Emissions_summary" sheetId="9" r:id="rId9"/>
    <sheet name="Generation_Summary" sheetId="10" r:id="rId10"/>
    <sheet name="Consumption_Summary" sheetId="11" r:id="rId11"/>
    <sheet name="Water_Consumption" sheetId="12" r:id="rId12"/>
    <sheet name="Storage_Summary" sheetId="13" r:id="rId13"/>
    <sheet name="Fuel_Consumption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9" l="1"/>
</calcChain>
</file>

<file path=xl/sharedStrings.xml><?xml version="1.0" encoding="utf-8"?>
<sst xmlns="http://schemas.openxmlformats.org/spreadsheetml/2006/main" count="193" uniqueCount="150">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</sst>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A2BC-A2E0-B041-91A5-D19A3D80C5A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171B-A7C7-2145-BA55-D83F06BC1D4D}">
  <dimension ref="A1:B4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2383.1995782858467</v>
      </c>
    </row>
    <row r="4" spans="1:2" x14ac:dyDescent="0.2">
      <c r="A4" t="s">
        <v>5</v>
      </c>
      <c r="B4">
        <v>404.7921781539917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6014-AAE0-D64F-ABA7-F23F448735A7}">
  <dimension ref="A1:AK13"/>
  <sheetViews>
    <sheetView workbookViewId="0"/>
  </sheetViews>
  <sheetFormatPr baseColWidth="10" defaultRowHeight="16" x14ac:dyDescent="0.2"/>
  <sheetData>
    <row r="1" spans="1:3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9.8000000000000007</v>
      </c>
      <c r="U2">
        <v>0</v>
      </c>
      <c r="V2">
        <v>0</v>
      </c>
      <c r="W2">
        <v>0</v>
      </c>
      <c r="X2">
        <v>0</v>
      </c>
      <c r="Y2">
        <v>0</v>
      </c>
      <c r="Z2">
        <v>360</v>
      </c>
      <c r="AA2">
        <v>0</v>
      </c>
      <c r="AB2">
        <v>0</v>
      </c>
      <c r="AC2">
        <v>392</v>
      </c>
      <c r="AD2">
        <v>0</v>
      </c>
      <c r="AE2">
        <v>0</v>
      </c>
      <c r="AF2">
        <v>161</v>
      </c>
      <c r="AG2">
        <v>0</v>
      </c>
      <c r="AH2">
        <v>0</v>
      </c>
      <c r="AI2">
        <v>105</v>
      </c>
      <c r="AJ2">
        <v>0</v>
      </c>
      <c r="AK2">
        <v>0</v>
      </c>
    </row>
    <row r="3" spans="1:37" x14ac:dyDescent="0.2">
      <c r="A3">
        <v>2026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0.04</v>
      </c>
      <c r="I3">
        <v>0</v>
      </c>
      <c r="J3">
        <v>0</v>
      </c>
      <c r="K3">
        <v>0</v>
      </c>
      <c r="L3">
        <v>0</v>
      </c>
      <c r="M3">
        <v>0</v>
      </c>
      <c r="N3">
        <v>364</v>
      </c>
      <c r="O3">
        <v>364</v>
      </c>
      <c r="P3">
        <v>0</v>
      </c>
      <c r="Q3">
        <v>0</v>
      </c>
      <c r="R3">
        <v>0</v>
      </c>
      <c r="S3">
        <v>0</v>
      </c>
      <c r="T3">
        <v>9.8000000000000007</v>
      </c>
      <c r="U3">
        <v>0</v>
      </c>
      <c r="V3">
        <v>0</v>
      </c>
      <c r="W3">
        <v>0</v>
      </c>
      <c r="X3">
        <v>0</v>
      </c>
      <c r="Y3">
        <v>0</v>
      </c>
      <c r="Z3">
        <v>360</v>
      </c>
      <c r="AA3">
        <v>0</v>
      </c>
      <c r="AB3">
        <v>0</v>
      </c>
      <c r="AC3">
        <v>392</v>
      </c>
      <c r="AD3">
        <v>0</v>
      </c>
      <c r="AE3">
        <v>0</v>
      </c>
      <c r="AF3">
        <v>161</v>
      </c>
      <c r="AG3">
        <v>0</v>
      </c>
      <c r="AH3">
        <v>0</v>
      </c>
      <c r="AI3">
        <v>105</v>
      </c>
      <c r="AJ3">
        <v>0</v>
      </c>
      <c r="AK3">
        <v>0</v>
      </c>
    </row>
    <row r="4" spans="1:37" x14ac:dyDescent="0.2">
      <c r="A4">
        <v>2027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0.04</v>
      </c>
      <c r="I4">
        <v>0</v>
      </c>
      <c r="J4">
        <v>0</v>
      </c>
      <c r="K4">
        <v>0</v>
      </c>
      <c r="L4">
        <v>0</v>
      </c>
      <c r="M4">
        <v>0</v>
      </c>
      <c r="N4">
        <v>367.5000016277088</v>
      </c>
      <c r="O4">
        <v>3.5000016277087984</v>
      </c>
      <c r="P4">
        <v>0</v>
      </c>
      <c r="Q4">
        <v>0</v>
      </c>
      <c r="R4">
        <v>0</v>
      </c>
      <c r="S4">
        <v>0</v>
      </c>
      <c r="T4">
        <v>9.8000000000000007</v>
      </c>
      <c r="U4">
        <v>0</v>
      </c>
      <c r="V4">
        <v>0</v>
      </c>
      <c r="W4">
        <v>0</v>
      </c>
      <c r="X4">
        <v>0</v>
      </c>
      <c r="Y4">
        <v>0</v>
      </c>
      <c r="Z4">
        <v>360</v>
      </c>
      <c r="AA4">
        <v>0</v>
      </c>
      <c r="AB4">
        <v>0</v>
      </c>
      <c r="AC4">
        <v>392</v>
      </c>
      <c r="AD4">
        <v>0</v>
      </c>
      <c r="AE4">
        <v>0</v>
      </c>
      <c r="AF4">
        <v>161</v>
      </c>
      <c r="AG4">
        <v>0</v>
      </c>
      <c r="AH4">
        <v>0</v>
      </c>
      <c r="AI4">
        <v>105</v>
      </c>
      <c r="AJ4">
        <v>0</v>
      </c>
      <c r="AK4">
        <v>0</v>
      </c>
    </row>
    <row r="5" spans="1:37" x14ac:dyDescent="0.2">
      <c r="A5">
        <v>2028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0.04</v>
      </c>
      <c r="I5">
        <v>0</v>
      </c>
      <c r="J5">
        <v>0</v>
      </c>
      <c r="K5">
        <v>0</v>
      </c>
      <c r="L5">
        <v>0</v>
      </c>
      <c r="M5">
        <v>0</v>
      </c>
      <c r="N5">
        <v>367.5000016277088</v>
      </c>
      <c r="O5">
        <v>0</v>
      </c>
      <c r="P5">
        <v>0</v>
      </c>
      <c r="Q5">
        <v>0</v>
      </c>
      <c r="R5">
        <v>0</v>
      </c>
      <c r="S5">
        <v>0</v>
      </c>
      <c r="T5">
        <v>9.8000000000000007</v>
      </c>
      <c r="U5">
        <v>0</v>
      </c>
      <c r="V5">
        <v>0</v>
      </c>
      <c r="W5">
        <v>0</v>
      </c>
      <c r="X5">
        <v>0</v>
      </c>
      <c r="Y5">
        <v>0</v>
      </c>
      <c r="Z5">
        <v>360</v>
      </c>
      <c r="AA5">
        <v>0</v>
      </c>
      <c r="AB5">
        <v>0</v>
      </c>
      <c r="AC5">
        <v>392</v>
      </c>
      <c r="AD5">
        <v>0</v>
      </c>
      <c r="AE5">
        <v>0</v>
      </c>
      <c r="AF5">
        <v>161</v>
      </c>
      <c r="AG5">
        <v>0</v>
      </c>
      <c r="AH5">
        <v>0</v>
      </c>
      <c r="AI5">
        <v>105</v>
      </c>
      <c r="AJ5">
        <v>0</v>
      </c>
      <c r="AK5">
        <v>0</v>
      </c>
    </row>
    <row r="6" spans="1:37" x14ac:dyDescent="0.2">
      <c r="A6">
        <v>2029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0.04</v>
      </c>
      <c r="I6">
        <v>0</v>
      </c>
      <c r="J6">
        <v>0</v>
      </c>
      <c r="K6">
        <v>0</v>
      </c>
      <c r="L6">
        <v>0</v>
      </c>
      <c r="M6">
        <v>0</v>
      </c>
      <c r="N6">
        <v>374.5</v>
      </c>
      <c r="O6">
        <v>6.9999983722911523</v>
      </c>
      <c r="P6">
        <v>0</v>
      </c>
      <c r="Q6">
        <v>0</v>
      </c>
      <c r="R6">
        <v>0</v>
      </c>
      <c r="S6">
        <v>0</v>
      </c>
      <c r="T6">
        <v>9.8000000000000007</v>
      </c>
      <c r="U6">
        <v>0</v>
      </c>
      <c r="V6">
        <v>0</v>
      </c>
      <c r="W6">
        <v>0</v>
      </c>
      <c r="X6">
        <v>0</v>
      </c>
      <c r="Y6">
        <v>0</v>
      </c>
      <c r="Z6">
        <v>360</v>
      </c>
      <c r="AA6">
        <v>0</v>
      </c>
      <c r="AB6">
        <v>0</v>
      </c>
      <c r="AC6">
        <v>392</v>
      </c>
      <c r="AD6">
        <v>0</v>
      </c>
      <c r="AE6">
        <v>0</v>
      </c>
      <c r="AF6">
        <v>161</v>
      </c>
      <c r="AG6">
        <v>0</v>
      </c>
      <c r="AH6">
        <v>0</v>
      </c>
      <c r="AI6">
        <v>105</v>
      </c>
      <c r="AJ6">
        <v>0</v>
      </c>
      <c r="AK6">
        <v>0</v>
      </c>
    </row>
    <row r="7" spans="1:37" x14ac:dyDescent="0.2">
      <c r="A7">
        <v>2030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0.04</v>
      </c>
      <c r="I7">
        <v>0</v>
      </c>
      <c r="J7">
        <v>0</v>
      </c>
      <c r="K7">
        <v>0</v>
      </c>
      <c r="L7">
        <v>0</v>
      </c>
      <c r="M7">
        <v>0</v>
      </c>
      <c r="N7">
        <v>374.5</v>
      </c>
      <c r="O7">
        <v>0</v>
      </c>
      <c r="P7">
        <v>0</v>
      </c>
      <c r="Q7">
        <v>0</v>
      </c>
      <c r="R7">
        <v>0</v>
      </c>
      <c r="S7">
        <v>0</v>
      </c>
      <c r="T7">
        <v>9.8000000000000007</v>
      </c>
      <c r="U7">
        <v>0</v>
      </c>
      <c r="V7">
        <v>0</v>
      </c>
      <c r="W7">
        <v>0</v>
      </c>
      <c r="X7">
        <v>0</v>
      </c>
      <c r="Y7">
        <v>0</v>
      </c>
      <c r="Z7">
        <v>360</v>
      </c>
      <c r="AA7">
        <v>0</v>
      </c>
      <c r="AB7">
        <v>0</v>
      </c>
      <c r="AC7">
        <v>392</v>
      </c>
      <c r="AD7">
        <v>0</v>
      </c>
      <c r="AE7">
        <v>0</v>
      </c>
      <c r="AF7">
        <v>161</v>
      </c>
      <c r="AG7">
        <v>0</v>
      </c>
      <c r="AH7">
        <v>0</v>
      </c>
      <c r="AI7">
        <v>105</v>
      </c>
      <c r="AJ7">
        <v>0</v>
      </c>
      <c r="AK7">
        <v>0</v>
      </c>
    </row>
    <row r="8" spans="1:37" x14ac:dyDescent="0.2">
      <c r="A8">
        <v>2031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0.04</v>
      </c>
      <c r="I8">
        <v>0</v>
      </c>
      <c r="J8">
        <v>0</v>
      </c>
      <c r="K8">
        <v>0</v>
      </c>
      <c r="L8">
        <v>0</v>
      </c>
      <c r="M8">
        <v>0</v>
      </c>
      <c r="N8">
        <v>388.5</v>
      </c>
      <c r="O8">
        <v>14</v>
      </c>
      <c r="P8">
        <v>0</v>
      </c>
      <c r="Q8">
        <v>0</v>
      </c>
      <c r="R8">
        <v>0</v>
      </c>
      <c r="S8">
        <v>0</v>
      </c>
      <c r="T8">
        <v>9.8000000000000007</v>
      </c>
      <c r="U8">
        <v>0</v>
      </c>
      <c r="V8">
        <v>0</v>
      </c>
      <c r="W8">
        <v>0</v>
      </c>
      <c r="X8">
        <v>0</v>
      </c>
      <c r="Y8">
        <v>0</v>
      </c>
      <c r="Z8">
        <v>360</v>
      </c>
      <c r="AA8">
        <v>0</v>
      </c>
      <c r="AB8">
        <v>0</v>
      </c>
      <c r="AC8">
        <v>392</v>
      </c>
      <c r="AD8">
        <v>0</v>
      </c>
      <c r="AE8">
        <v>0</v>
      </c>
      <c r="AF8">
        <v>161</v>
      </c>
      <c r="AG8">
        <v>0</v>
      </c>
      <c r="AH8">
        <v>0</v>
      </c>
      <c r="AI8">
        <v>105</v>
      </c>
      <c r="AJ8">
        <v>0</v>
      </c>
      <c r="AK8">
        <v>0</v>
      </c>
    </row>
    <row r="9" spans="1:37" x14ac:dyDescent="0.2">
      <c r="A9">
        <v>2032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0.04</v>
      </c>
      <c r="I9">
        <v>0</v>
      </c>
      <c r="J9">
        <v>0</v>
      </c>
      <c r="K9">
        <v>0</v>
      </c>
      <c r="L9">
        <v>0</v>
      </c>
      <c r="M9">
        <v>0</v>
      </c>
      <c r="N9">
        <v>388.5</v>
      </c>
      <c r="O9">
        <v>0</v>
      </c>
      <c r="P9">
        <v>0</v>
      </c>
      <c r="Q9">
        <v>0</v>
      </c>
      <c r="R9">
        <v>0</v>
      </c>
      <c r="S9">
        <v>0</v>
      </c>
      <c r="T9">
        <v>9.8000000000000007</v>
      </c>
      <c r="U9">
        <v>0</v>
      </c>
      <c r="V9">
        <v>0</v>
      </c>
      <c r="W9">
        <v>0</v>
      </c>
      <c r="X9">
        <v>0</v>
      </c>
      <c r="Y9">
        <v>0</v>
      </c>
      <c r="Z9">
        <v>360</v>
      </c>
      <c r="AA9">
        <v>0</v>
      </c>
      <c r="AB9">
        <v>0</v>
      </c>
      <c r="AC9">
        <v>392</v>
      </c>
      <c r="AD9">
        <v>0</v>
      </c>
      <c r="AE9">
        <v>0</v>
      </c>
      <c r="AF9">
        <v>153.75809407999995</v>
      </c>
      <c r="AG9">
        <v>153.75809407999995</v>
      </c>
      <c r="AH9">
        <v>161</v>
      </c>
      <c r="AI9">
        <v>38.341905920000045</v>
      </c>
      <c r="AJ9">
        <v>38.341905920000045</v>
      </c>
      <c r="AK9">
        <v>105</v>
      </c>
    </row>
    <row r="10" spans="1:37" x14ac:dyDescent="0.2">
      <c r="A10">
        <v>2033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0.04</v>
      </c>
      <c r="I10">
        <v>0</v>
      </c>
      <c r="J10">
        <v>0</v>
      </c>
      <c r="K10">
        <v>0</v>
      </c>
      <c r="L10">
        <v>0</v>
      </c>
      <c r="M10">
        <v>0</v>
      </c>
      <c r="N10">
        <v>399</v>
      </c>
      <c r="O10">
        <v>10.5</v>
      </c>
      <c r="P10">
        <v>0</v>
      </c>
      <c r="Q10">
        <v>0</v>
      </c>
      <c r="R10">
        <v>0</v>
      </c>
      <c r="S10">
        <v>0</v>
      </c>
      <c r="T10">
        <v>9.8000000000000007</v>
      </c>
      <c r="U10">
        <v>0</v>
      </c>
      <c r="V10">
        <v>0</v>
      </c>
      <c r="W10">
        <v>0</v>
      </c>
      <c r="X10">
        <v>0</v>
      </c>
      <c r="Y10">
        <v>0</v>
      </c>
      <c r="Z10">
        <v>360</v>
      </c>
      <c r="AA10">
        <v>0</v>
      </c>
      <c r="AB10">
        <v>0</v>
      </c>
      <c r="AC10">
        <v>392</v>
      </c>
      <c r="AD10">
        <v>0</v>
      </c>
      <c r="AE10">
        <v>0</v>
      </c>
      <c r="AF10">
        <v>156.33809407999996</v>
      </c>
      <c r="AG10">
        <v>2.5800000000000125</v>
      </c>
      <c r="AH10">
        <v>0</v>
      </c>
      <c r="AI10">
        <v>38.341905920000045</v>
      </c>
      <c r="AJ10">
        <v>0</v>
      </c>
      <c r="AK10">
        <v>0</v>
      </c>
    </row>
    <row r="11" spans="1:37" x14ac:dyDescent="0.2">
      <c r="A11">
        <v>2034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0.04</v>
      </c>
      <c r="I11">
        <v>0</v>
      </c>
      <c r="J11">
        <v>0</v>
      </c>
      <c r="K11">
        <v>0</v>
      </c>
      <c r="L11">
        <v>0</v>
      </c>
      <c r="M11">
        <v>0</v>
      </c>
      <c r="N11">
        <v>406</v>
      </c>
      <c r="O11">
        <v>7</v>
      </c>
      <c r="P11">
        <v>0</v>
      </c>
      <c r="Q11">
        <v>0</v>
      </c>
      <c r="R11">
        <v>0</v>
      </c>
      <c r="S11">
        <v>0</v>
      </c>
      <c r="T11">
        <v>9.8000000000000007</v>
      </c>
      <c r="U11">
        <v>0</v>
      </c>
      <c r="V11">
        <v>0</v>
      </c>
      <c r="W11">
        <v>0</v>
      </c>
      <c r="X11">
        <v>0</v>
      </c>
      <c r="Y11">
        <v>0</v>
      </c>
      <c r="Z11">
        <v>360</v>
      </c>
      <c r="AA11">
        <v>0</v>
      </c>
      <c r="AB11">
        <v>0</v>
      </c>
      <c r="AC11">
        <v>392</v>
      </c>
      <c r="AD11">
        <v>0</v>
      </c>
      <c r="AE11">
        <v>0</v>
      </c>
      <c r="AF11">
        <v>156.33809407999996</v>
      </c>
      <c r="AG11">
        <v>0</v>
      </c>
      <c r="AH11">
        <v>0</v>
      </c>
      <c r="AI11">
        <v>38.341905920000045</v>
      </c>
      <c r="AJ11">
        <v>0</v>
      </c>
      <c r="AK11">
        <v>0</v>
      </c>
    </row>
    <row r="12" spans="1:37" x14ac:dyDescent="0.2">
      <c r="A12">
        <v>2035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0.04</v>
      </c>
      <c r="I12">
        <v>0</v>
      </c>
      <c r="J12">
        <v>0</v>
      </c>
      <c r="K12">
        <v>0</v>
      </c>
      <c r="L12">
        <v>0</v>
      </c>
      <c r="M12">
        <v>0</v>
      </c>
      <c r="N12">
        <v>416.5</v>
      </c>
      <c r="O12">
        <v>10.5</v>
      </c>
      <c r="P12">
        <v>0</v>
      </c>
      <c r="Q12">
        <v>0</v>
      </c>
      <c r="R12">
        <v>0</v>
      </c>
      <c r="S12">
        <v>0</v>
      </c>
      <c r="T12">
        <v>9.8000000000000007</v>
      </c>
      <c r="U12">
        <v>0</v>
      </c>
      <c r="V12">
        <v>0</v>
      </c>
      <c r="W12">
        <v>0</v>
      </c>
      <c r="X12">
        <v>0</v>
      </c>
      <c r="Y12">
        <v>0</v>
      </c>
      <c r="Z12">
        <v>360</v>
      </c>
      <c r="AA12">
        <v>0</v>
      </c>
      <c r="AB12">
        <v>0</v>
      </c>
      <c r="AC12">
        <v>392</v>
      </c>
      <c r="AD12">
        <v>0</v>
      </c>
      <c r="AE12">
        <v>0</v>
      </c>
      <c r="AF12">
        <v>156.33809407999996</v>
      </c>
      <c r="AG12">
        <v>0</v>
      </c>
      <c r="AH12">
        <v>0</v>
      </c>
      <c r="AI12">
        <v>42.121905920000046</v>
      </c>
      <c r="AJ12">
        <v>3.7800000000000011</v>
      </c>
      <c r="AK12">
        <v>0</v>
      </c>
    </row>
    <row r="13" spans="1:37" x14ac:dyDescent="0.2">
      <c r="A13">
        <v>2036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0.04</v>
      </c>
      <c r="I13">
        <v>0</v>
      </c>
      <c r="J13">
        <v>0</v>
      </c>
      <c r="K13">
        <v>0</v>
      </c>
      <c r="L13">
        <v>0</v>
      </c>
      <c r="M13">
        <v>0</v>
      </c>
      <c r="N13">
        <v>444.5</v>
      </c>
      <c r="O13">
        <v>28</v>
      </c>
      <c r="P13">
        <v>0</v>
      </c>
      <c r="Q13">
        <v>0</v>
      </c>
      <c r="R13">
        <v>0</v>
      </c>
      <c r="S13">
        <v>0</v>
      </c>
      <c r="T13">
        <v>9.8000000000000007</v>
      </c>
      <c r="U13">
        <v>0</v>
      </c>
      <c r="V13">
        <v>0</v>
      </c>
      <c r="W13">
        <v>0</v>
      </c>
      <c r="X13">
        <v>0</v>
      </c>
      <c r="Y13">
        <v>0</v>
      </c>
      <c r="Z13">
        <v>360</v>
      </c>
      <c r="AA13">
        <v>0</v>
      </c>
      <c r="AB13">
        <v>0</v>
      </c>
      <c r="AC13">
        <v>392</v>
      </c>
      <c r="AD13">
        <v>0</v>
      </c>
      <c r="AE13">
        <v>0</v>
      </c>
      <c r="AF13">
        <v>156.33809407999996</v>
      </c>
      <c r="AG13">
        <v>0</v>
      </c>
      <c r="AH13">
        <v>0</v>
      </c>
      <c r="AI13">
        <v>42.121905920000046</v>
      </c>
      <c r="AJ13">
        <v>0</v>
      </c>
      <c r="AK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3D65-1232-F540-AA6D-F5CA16649EF6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43</v>
      </c>
      <c r="C1" t="s">
        <v>44</v>
      </c>
      <c r="D1" t="s">
        <v>45</v>
      </c>
    </row>
    <row r="2" spans="1:4" x14ac:dyDescent="0.2">
      <c r="A2">
        <v>2025</v>
      </c>
      <c r="B2">
        <v>164.03249402876196</v>
      </c>
      <c r="C2">
        <v>0</v>
      </c>
      <c r="D2">
        <v>0</v>
      </c>
    </row>
    <row r="3" spans="1:4" x14ac:dyDescent="0.2">
      <c r="A3">
        <v>2026</v>
      </c>
      <c r="B3">
        <v>164.03249402876196</v>
      </c>
      <c r="C3">
        <v>0</v>
      </c>
      <c r="D3">
        <v>2912</v>
      </c>
    </row>
    <row r="4" spans="1:4" x14ac:dyDescent="0.2">
      <c r="A4">
        <v>2027</v>
      </c>
      <c r="B4">
        <v>164.03249402876196</v>
      </c>
      <c r="C4">
        <v>0</v>
      </c>
      <c r="D4">
        <v>2940.0000130216704</v>
      </c>
    </row>
    <row r="5" spans="1:4" x14ac:dyDescent="0.2">
      <c r="A5">
        <v>2028</v>
      </c>
      <c r="B5">
        <v>164.03249402876196</v>
      </c>
      <c r="C5">
        <v>0</v>
      </c>
      <c r="D5">
        <v>2940.0000130216704</v>
      </c>
    </row>
    <row r="6" spans="1:4" x14ac:dyDescent="0.2">
      <c r="A6">
        <v>2029</v>
      </c>
      <c r="B6">
        <v>164.03249402876196</v>
      </c>
      <c r="C6">
        <v>0</v>
      </c>
      <c r="D6">
        <v>2996</v>
      </c>
    </row>
    <row r="7" spans="1:4" x14ac:dyDescent="0.2">
      <c r="A7">
        <v>2030</v>
      </c>
      <c r="B7">
        <v>164.03249402876196</v>
      </c>
      <c r="C7">
        <v>0</v>
      </c>
      <c r="D7">
        <v>2996</v>
      </c>
    </row>
    <row r="8" spans="1:4" x14ac:dyDescent="0.2">
      <c r="A8">
        <v>2031</v>
      </c>
      <c r="B8">
        <v>164.03249402876196</v>
      </c>
      <c r="C8">
        <v>0</v>
      </c>
      <c r="D8">
        <v>3108</v>
      </c>
    </row>
    <row r="9" spans="1:4" x14ac:dyDescent="0.2">
      <c r="A9">
        <v>2032</v>
      </c>
      <c r="B9">
        <v>164.03249402876196</v>
      </c>
      <c r="C9">
        <v>0</v>
      </c>
      <c r="D9">
        <v>3108</v>
      </c>
    </row>
    <row r="10" spans="1:4" x14ac:dyDescent="0.2">
      <c r="A10">
        <v>2033</v>
      </c>
      <c r="B10">
        <v>164.03249402876196</v>
      </c>
      <c r="C10">
        <v>0</v>
      </c>
      <c r="D10">
        <v>3192</v>
      </c>
    </row>
    <row r="11" spans="1:4" x14ac:dyDescent="0.2">
      <c r="A11">
        <v>2034</v>
      </c>
      <c r="B11">
        <v>164.03249402876196</v>
      </c>
      <c r="C11">
        <v>0</v>
      </c>
      <c r="D11">
        <v>3248</v>
      </c>
    </row>
    <row r="12" spans="1:4" x14ac:dyDescent="0.2">
      <c r="A12">
        <v>2035</v>
      </c>
      <c r="B12">
        <v>164.03249402876196</v>
      </c>
      <c r="C12">
        <v>0</v>
      </c>
      <c r="D12">
        <v>3332</v>
      </c>
    </row>
    <row r="13" spans="1:4" x14ac:dyDescent="0.2">
      <c r="A13">
        <v>2036</v>
      </c>
      <c r="B13">
        <v>164.03249402876196</v>
      </c>
      <c r="C13">
        <v>0</v>
      </c>
      <c r="D13">
        <v>3556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53A7-D402-484C-85E6-B3158619A313}">
  <dimension ref="A1:E13"/>
  <sheetViews>
    <sheetView workbookViewId="0"/>
  </sheetViews>
  <sheetFormatPr baseColWidth="10" defaultRowHeight="16" x14ac:dyDescent="0.2"/>
  <sheetData>
    <row r="1" spans="1:5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 x14ac:dyDescent="0.2">
      <c r="A2" t="s">
        <v>51</v>
      </c>
      <c r="B2" t="s">
        <v>52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52</v>
      </c>
      <c r="C3">
        <v>0</v>
      </c>
      <c r="D3">
        <v>0</v>
      </c>
      <c r="E3">
        <v>0</v>
      </c>
    </row>
    <row r="4" spans="1:5" x14ac:dyDescent="0.2">
      <c r="A4" t="s">
        <v>43</v>
      </c>
      <c r="B4" t="s">
        <v>52</v>
      </c>
      <c r="C4">
        <v>0</v>
      </c>
      <c r="D4">
        <v>0</v>
      </c>
      <c r="E4">
        <v>0</v>
      </c>
    </row>
    <row r="5" spans="1:5" x14ac:dyDescent="0.2">
      <c r="A5" t="s">
        <v>44</v>
      </c>
      <c r="B5" t="s">
        <v>52</v>
      </c>
      <c r="C5">
        <v>0</v>
      </c>
      <c r="D5">
        <v>0</v>
      </c>
      <c r="E5">
        <v>0</v>
      </c>
    </row>
    <row r="6" spans="1:5" x14ac:dyDescent="0.2">
      <c r="A6" t="s">
        <v>45</v>
      </c>
      <c r="B6" t="s">
        <v>52</v>
      </c>
      <c r="C6">
        <v>256.90811594202904</v>
      </c>
      <c r="D6">
        <v>0</v>
      </c>
      <c r="E6">
        <v>7.707243478260871</v>
      </c>
    </row>
    <row r="7" spans="1:5" x14ac:dyDescent="0.2">
      <c r="A7" t="s">
        <v>54</v>
      </c>
      <c r="B7" t="s">
        <v>52</v>
      </c>
      <c r="C7">
        <v>0</v>
      </c>
      <c r="D7">
        <v>0</v>
      </c>
      <c r="E7">
        <v>0</v>
      </c>
    </row>
    <row r="8" spans="1:5" x14ac:dyDescent="0.2">
      <c r="A8" t="s">
        <v>55</v>
      </c>
      <c r="B8" t="s">
        <v>52</v>
      </c>
      <c r="C8">
        <v>0</v>
      </c>
      <c r="D8">
        <v>0</v>
      </c>
      <c r="E8">
        <v>0</v>
      </c>
    </row>
    <row r="9" spans="1:5" x14ac:dyDescent="0.2">
      <c r="A9" t="s">
        <v>56</v>
      </c>
      <c r="B9" t="s">
        <v>52</v>
      </c>
      <c r="C9">
        <v>0</v>
      </c>
      <c r="D9">
        <v>0</v>
      </c>
      <c r="E9">
        <v>0</v>
      </c>
    </row>
    <row r="10" spans="1:5" x14ac:dyDescent="0.2">
      <c r="A10" t="s">
        <v>57</v>
      </c>
      <c r="B10" t="s">
        <v>52</v>
      </c>
      <c r="C10">
        <v>0</v>
      </c>
      <c r="D10">
        <v>0</v>
      </c>
      <c r="E10">
        <v>0</v>
      </c>
    </row>
    <row r="11" spans="1:5" x14ac:dyDescent="0.2">
      <c r="A11" t="s">
        <v>58</v>
      </c>
      <c r="B11" t="s">
        <v>52</v>
      </c>
      <c r="C11">
        <v>0</v>
      </c>
      <c r="D11">
        <v>0</v>
      </c>
      <c r="E11">
        <v>0</v>
      </c>
    </row>
    <row r="12" spans="1:5" x14ac:dyDescent="0.2">
      <c r="A12" t="s">
        <v>59</v>
      </c>
      <c r="B12" t="s">
        <v>52</v>
      </c>
      <c r="C12">
        <v>0</v>
      </c>
      <c r="D12">
        <v>0</v>
      </c>
      <c r="E12">
        <v>0</v>
      </c>
    </row>
    <row r="13" spans="1:5" x14ac:dyDescent="0.2">
      <c r="A13" t="s">
        <v>60</v>
      </c>
      <c r="B13" t="s">
        <v>52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313C-776B-8441-ADDB-83244B79CE94}">
  <dimension ref="A1:M13"/>
  <sheetViews>
    <sheetView workbookViewId="0"/>
  </sheetViews>
  <sheetFormatPr baseColWidth="10" defaultRowHeight="16" x14ac:dyDescent="0.2"/>
  <sheetData>
    <row r="1" spans="1:13" x14ac:dyDescent="0.2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2">
      <c r="A2">
        <v>2025</v>
      </c>
      <c r="B2">
        <v>0</v>
      </c>
      <c r="C2">
        <v>0</v>
      </c>
      <c r="D2">
        <v>2.395866076836374E-2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>
        <v>2026</v>
      </c>
      <c r="B3">
        <v>0</v>
      </c>
      <c r="C3">
        <v>0</v>
      </c>
      <c r="D3">
        <v>3.0263255386384167E-2</v>
      </c>
      <c r="E3">
        <v>0</v>
      </c>
      <c r="F3">
        <v>6.0202521356457997E-2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>
        <v>2027</v>
      </c>
      <c r="B4">
        <v>0</v>
      </c>
      <c r="C4">
        <v>0</v>
      </c>
      <c r="D4">
        <v>2.986468043154878E-2</v>
      </c>
      <c r="E4">
        <v>0</v>
      </c>
      <c r="F4">
        <v>6.4635026163840481E-2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>
        <v>2028</v>
      </c>
      <c r="B5">
        <v>0</v>
      </c>
      <c r="C5">
        <v>0</v>
      </c>
      <c r="D5">
        <v>3.5184680712790579E-2</v>
      </c>
      <c r="E5">
        <v>0</v>
      </c>
      <c r="F5">
        <v>6.8283425105496884E-2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>
        <v>2029</v>
      </c>
      <c r="B6">
        <v>0</v>
      </c>
      <c r="C6">
        <v>0</v>
      </c>
      <c r="D6">
        <v>3.0438163558863061E-2</v>
      </c>
      <c r="E6">
        <v>0</v>
      </c>
      <c r="F6">
        <v>6.8362501426471808E-2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>
        <v>2030</v>
      </c>
      <c r="B7">
        <v>0</v>
      </c>
      <c r="C7">
        <v>0</v>
      </c>
      <c r="D7">
        <v>2.9353882827422698E-2</v>
      </c>
      <c r="E7">
        <v>0</v>
      </c>
      <c r="F7">
        <v>6.8992702008328119E-2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>
        <v>2031</v>
      </c>
      <c r="B8">
        <v>0</v>
      </c>
      <c r="C8">
        <v>0</v>
      </c>
      <c r="D8">
        <v>3.0167656448613786E-2</v>
      </c>
      <c r="E8">
        <v>0</v>
      </c>
      <c r="F8">
        <v>6.721694907913052E-2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>
        <v>2032</v>
      </c>
      <c r="B9">
        <v>0</v>
      </c>
      <c r="C9">
        <v>0</v>
      </c>
      <c r="D9">
        <v>2.969859706641019E-2</v>
      </c>
      <c r="E9">
        <v>0</v>
      </c>
      <c r="F9">
        <v>7.2624940052118434E-2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>
        <v>2033</v>
      </c>
      <c r="B10">
        <v>0</v>
      </c>
      <c r="C10">
        <v>0</v>
      </c>
      <c r="D10">
        <v>3.2726866600951171E-2</v>
      </c>
      <c r="E10">
        <v>0</v>
      </c>
      <c r="F10">
        <v>6.3181570403211137E-2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>
        <v>2034</v>
      </c>
      <c r="B11">
        <v>0</v>
      </c>
      <c r="C11">
        <v>0</v>
      </c>
      <c r="D11">
        <v>2.9045233048452867E-2</v>
      </c>
      <c r="E11">
        <v>0</v>
      </c>
      <c r="F11">
        <v>7.4641493388953831E-2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>
        <v>2035</v>
      </c>
      <c r="B12">
        <v>0</v>
      </c>
      <c r="C12">
        <v>0</v>
      </c>
      <c r="D12">
        <v>3.0390934046696804E-2</v>
      </c>
      <c r="E12">
        <v>0</v>
      </c>
      <c r="F12">
        <v>7.2228331575722365E-2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>
        <v>2036</v>
      </c>
      <c r="B13">
        <v>0</v>
      </c>
      <c r="C13">
        <v>0</v>
      </c>
      <c r="D13">
        <v>3.1803395471104952E-2</v>
      </c>
      <c r="E13">
        <v>0</v>
      </c>
      <c r="F13">
        <v>7.1447349306395264E-2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B0F0-B22C-B241-A859-CC3E015C94F4}">
  <dimension ref="A1:BJ13"/>
  <sheetViews>
    <sheetView workbookViewId="0"/>
  </sheetViews>
  <sheetFormatPr baseColWidth="10" defaultRowHeight="16" x14ac:dyDescent="0.2"/>
  <sheetData>
    <row r="1" spans="1:62" x14ac:dyDescent="0.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7.6000000000000004E-4</v>
      </c>
      <c r="N2">
        <v>0</v>
      </c>
      <c r="O2">
        <v>0</v>
      </c>
      <c r="P2">
        <v>3.1721305600000124E-2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85.847999999989426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5.04</v>
      </c>
      <c r="AR2">
        <v>0</v>
      </c>
      <c r="AS2">
        <v>0</v>
      </c>
      <c r="AT2">
        <v>0</v>
      </c>
      <c r="AU2">
        <v>0</v>
      </c>
      <c r="AV2">
        <v>7.0560000000000009</v>
      </c>
      <c r="AW2">
        <v>0</v>
      </c>
      <c r="AX2">
        <v>0</v>
      </c>
      <c r="AY2">
        <v>0</v>
      </c>
      <c r="AZ2">
        <v>0</v>
      </c>
      <c r="BA2">
        <v>1.61</v>
      </c>
      <c r="BB2">
        <v>0</v>
      </c>
      <c r="BC2">
        <v>0</v>
      </c>
      <c r="BD2">
        <v>0</v>
      </c>
      <c r="BE2">
        <v>0</v>
      </c>
      <c r="BF2">
        <v>0.42</v>
      </c>
      <c r="BG2">
        <v>0</v>
      </c>
      <c r="BH2">
        <v>0</v>
      </c>
      <c r="BI2">
        <v>0</v>
      </c>
      <c r="BJ2">
        <v>1550.7155581867864</v>
      </c>
    </row>
    <row r="3" spans="1:62" x14ac:dyDescent="0.2">
      <c r="A3">
        <v>2026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7.6000000000000004E-4</v>
      </c>
      <c r="N3">
        <v>0</v>
      </c>
      <c r="O3">
        <v>0</v>
      </c>
      <c r="P3">
        <v>2.5112962577777866E-2</v>
      </c>
      <c r="Q3">
        <v>0</v>
      </c>
      <c r="R3">
        <v>0</v>
      </c>
      <c r="S3">
        <v>0</v>
      </c>
      <c r="T3">
        <v>0</v>
      </c>
      <c r="U3">
        <v>0</v>
      </c>
      <c r="V3">
        <v>34.114911935051772</v>
      </c>
      <c r="W3">
        <v>11.648</v>
      </c>
      <c r="X3">
        <v>0</v>
      </c>
      <c r="Y3">
        <v>0</v>
      </c>
      <c r="Z3">
        <v>760.1494240430635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66.88735744690598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5.04</v>
      </c>
      <c r="AR3">
        <v>0</v>
      </c>
      <c r="AS3">
        <v>0</v>
      </c>
      <c r="AT3">
        <v>0</v>
      </c>
      <c r="AU3">
        <v>0</v>
      </c>
      <c r="AV3">
        <v>7.0560000000000009</v>
      </c>
      <c r="AW3">
        <v>0</v>
      </c>
      <c r="AX3">
        <v>0</v>
      </c>
      <c r="AY3">
        <v>0</v>
      </c>
      <c r="AZ3">
        <v>0</v>
      </c>
      <c r="BA3">
        <v>1.61</v>
      </c>
      <c r="BB3">
        <v>0</v>
      </c>
      <c r="BC3">
        <v>0</v>
      </c>
      <c r="BD3">
        <v>0</v>
      </c>
      <c r="BE3">
        <v>0</v>
      </c>
      <c r="BF3">
        <v>0.42</v>
      </c>
      <c r="BG3">
        <v>0</v>
      </c>
      <c r="BH3">
        <v>0</v>
      </c>
      <c r="BI3">
        <v>0</v>
      </c>
      <c r="BJ3">
        <v>777.16431328124747</v>
      </c>
    </row>
    <row r="4" spans="1:62" x14ac:dyDescent="0.2">
      <c r="A4">
        <v>2027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7.6000000000000004E-4</v>
      </c>
      <c r="N4">
        <v>0</v>
      </c>
      <c r="O4">
        <v>0</v>
      </c>
      <c r="P4">
        <v>2.5448120958198598E-2</v>
      </c>
      <c r="Q4">
        <v>0</v>
      </c>
      <c r="R4">
        <v>0</v>
      </c>
      <c r="S4">
        <v>0</v>
      </c>
      <c r="T4">
        <v>0</v>
      </c>
      <c r="U4">
        <v>0</v>
      </c>
      <c r="V4">
        <v>34.44294008697986</v>
      </c>
      <c r="W4">
        <v>11.760000052086681</v>
      </c>
      <c r="X4">
        <v>0</v>
      </c>
      <c r="Y4">
        <v>0</v>
      </c>
      <c r="Z4">
        <v>714.82821128514342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69.374285973218932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5.04</v>
      </c>
      <c r="AR4">
        <v>0</v>
      </c>
      <c r="AS4">
        <v>0</v>
      </c>
      <c r="AT4">
        <v>0</v>
      </c>
      <c r="AU4">
        <v>0</v>
      </c>
      <c r="AV4">
        <v>7.0560000000000009</v>
      </c>
      <c r="AW4">
        <v>0</v>
      </c>
      <c r="AX4">
        <v>0</v>
      </c>
      <c r="AY4">
        <v>0</v>
      </c>
      <c r="AZ4">
        <v>0</v>
      </c>
      <c r="BA4">
        <v>1.61</v>
      </c>
      <c r="BB4">
        <v>0</v>
      </c>
      <c r="BC4">
        <v>0</v>
      </c>
      <c r="BD4">
        <v>0</v>
      </c>
      <c r="BE4">
        <v>0</v>
      </c>
      <c r="BF4">
        <v>0.42</v>
      </c>
      <c r="BG4">
        <v>0</v>
      </c>
      <c r="BH4">
        <v>0</v>
      </c>
      <c r="BI4">
        <v>0</v>
      </c>
      <c r="BJ4">
        <v>822.52238378479626</v>
      </c>
    </row>
    <row r="5" spans="1:62" x14ac:dyDescent="0.2">
      <c r="A5">
        <v>2028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7.6000000000000004E-4</v>
      </c>
      <c r="N5">
        <v>0</v>
      </c>
      <c r="O5">
        <v>0</v>
      </c>
      <c r="P5">
        <v>2.160030969738826E-2</v>
      </c>
      <c r="Q5">
        <v>0</v>
      </c>
      <c r="R5">
        <v>0</v>
      </c>
      <c r="S5">
        <v>0</v>
      </c>
      <c r="T5">
        <v>0</v>
      </c>
      <c r="U5">
        <v>0</v>
      </c>
      <c r="V5">
        <v>34.44294008697986</v>
      </c>
      <c r="W5">
        <v>11.760000052086681</v>
      </c>
      <c r="X5">
        <v>0</v>
      </c>
      <c r="Y5">
        <v>0</v>
      </c>
      <c r="Z5">
        <v>676.63477729307931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70.675377512887934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5.04</v>
      </c>
      <c r="AR5">
        <v>0</v>
      </c>
      <c r="AS5">
        <v>0</v>
      </c>
      <c r="AT5">
        <v>0</v>
      </c>
      <c r="AU5">
        <v>0</v>
      </c>
      <c r="AV5">
        <v>7.0560000000000009</v>
      </c>
      <c r="AW5">
        <v>0</v>
      </c>
      <c r="AX5">
        <v>0</v>
      </c>
      <c r="AY5">
        <v>0</v>
      </c>
      <c r="AZ5">
        <v>0</v>
      </c>
      <c r="BA5">
        <v>1.61</v>
      </c>
      <c r="BB5">
        <v>0</v>
      </c>
      <c r="BC5">
        <v>0</v>
      </c>
      <c r="BD5">
        <v>0</v>
      </c>
      <c r="BE5">
        <v>0</v>
      </c>
      <c r="BF5">
        <v>0.42</v>
      </c>
      <c r="BG5">
        <v>0</v>
      </c>
      <c r="BH5">
        <v>0</v>
      </c>
      <c r="BI5">
        <v>0</v>
      </c>
      <c r="BJ5">
        <v>856.15675616112503</v>
      </c>
    </row>
    <row r="6" spans="1:62" x14ac:dyDescent="0.2">
      <c r="A6">
        <v>2029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7.6000000000000004E-4</v>
      </c>
      <c r="N6">
        <v>0</v>
      </c>
      <c r="O6">
        <v>0</v>
      </c>
      <c r="P6">
        <v>2.4968654844444493E-2</v>
      </c>
      <c r="Q6">
        <v>0</v>
      </c>
      <c r="R6">
        <v>0</v>
      </c>
      <c r="S6">
        <v>0</v>
      </c>
      <c r="T6">
        <v>0</v>
      </c>
      <c r="U6">
        <v>0</v>
      </c>
      <c r="V6">
        <v>35.098995933178259</v>
      </c>
      <c r="W6">
        <v>11.984</v>
      </c>
      <c r="X6">
        <v>0</v>
      </c>
      <c r="Y6">
        <v>0</v>
      </c>
      <c r="Z6">
        <v>688.72547011491372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70.039296439895978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5.04</v>
      </c>
      <c r="AR6">
        <v>0</v>
      </c>
      <c r="AS6">
        <v>0</v>
      </c>
      <c r="AT6">
        <v>0</v>
      </c>
      <c r="AU6">
        <v>0</v>
      </c>
      <c r="AV6">
        <v>7.0560000000000009</v>
      </c>
      <c r="AW6">
        <v>0</v>
      </c>
      <c r="AX6">
        <v>0</v>
      </c>
      <c r="AY6">
        <v>0</v>
      </c>
      <c r="AZ6">
        <v>0</v>
      </c>
      <c r="BA6">
        <v>1.61</v>
      </c>
      <c r="BB6">
        <v>0</v>
      </c>
      <c r="BC6">
        <v>0</v>
      </c>
      <c r="BD6">
        <v>0</v>
      </c>
      <c r="BE6">
        <v>0</v>
      </c>
      <c r="BF6">
        <v>0.42</v>
      </c>
      <c r="BG6">
        <v>0</v>
      </c>
      <c r="BH6">
        <v>0</v>
      </c>
      <c r="BI6">
        <v>0</v>
      </c>
      <c r="BJ6">
        <v>842.90162964732031</v>
      </c>
    </row>
    <row r="7" spans="1:62" x14ac:dyDescent="0.2">
      <c r="A7">
        <v>2030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7.6000000000000004E-4</v>
      </c>
      <c r="N7">
        <v>0</v>
      </c>
      <c r="O7">
        <v>0</v>
      </c>
      <c r="P7">
        <v>2.5890952977777791E-2</v>
      </c>
      <c r="Q7">
        <v>0</v>
      </c>
      <c r="R7">
        <v>0</v>
      </c>
      <c r="S7">
        <v>0</v>
      </c>
      <c r="T7">
        <v>0</v>
      </c>
      <c r="U7">
        <v>0</v>
      </c>
      <c r="V7">
        <v>35.098995933178259</v>
      </c>
      <c r="W7">
        <v>11.984</v>
      </c>
      <c r="X7">
        <v>0</v>
      </c>
      <c r="Y7">
        <v>0</v>
      </c>
      <c r="Z7">
        <v>682.43443962369918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69.795461512308393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5.04</v>
      </c>
      <c r="AR7">
        <v>0</v>
      </c>
      <c r="AS7">
        <v>0</v>
      </c>
      <c r="AT7">
        <v>0</v>
      </c>
      <c r="AU7">
        <v>0</v>
      </c>
      <c r="AV7">
        <v>7.0560000000000009</v>
      </c>
      <c r="AW7">
        <v>0</v>
      </c>
      <c r="AX7">
        <v>0</v>
      </c>
      <c r="AY7">
        <v>0</v>
      </c>
      <c r="AZ7">
        <v>0</v>
      </c>
      <c r="BA7">
        <v>1.61</v>
      </c>
      <c r="BB7">
        <v>0</v>
      </c>
      <c r="BC7">
        <v>0</v>
      </c>
      <c r="BD7">
        <v>0</v>
      </c>
      <c r="BE7">
        <v>0</v>
      </c>
      <c r="BF7">
        <v>0.42</v>
      </c>
      <c r="BG7">
        <v>0</v>
      </c>
      <c r="BH7">
        <v>0</v>
      </c>
      <c r="BI7">
        <v>0</v>
      </c>
      <c r="BJ7">
        <v>852.49971321803559</v>
      </c>
    </row>
    <row r="8" spans="1:62" x14ac:dyDescent="0.2">
      <c r="A8">
        <v>2031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7.6000000000000004E-4</v>
      </c>
      <c r="N8">
        <v>0</v>
      </c>
      <c r="O8">
        <v>0</v>
      </c>
      <c r="P8">
        <v>2.5192543587021731E-2</v>
      </c>
      <c r="Q8">
        <v>0</v>
      </c>
      <c r="R8">
        <v>0</v>
      </c>
      <c r="S8">
        <v>0</v>
      </c>
      <c r="T8">
        <v>0</v>
      </c>
      <c r="U8">
        <v>0</v>
      </c>
      <c r="V8">
        <v>36.411107930680252</v>
      </c>
      <c r="W8">
        <v>12.432</v>
      </c>
      <c r="X8">
        <v>0</v>
      </c>
      <c r="Y8">
        <v>0</v>
      </c>
      <c r="Z8">
        <v>726.64868905579408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68.529885711039896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5.04</v>
      </c>
      <c r="AR8">
        <v>0</v>
      </c>
      <c r="AS8">
        <v>0</v>
      </c>
      <c r="AT8">
        <v>0</v>
      </c>
      <c r="AU8">
        <v>0</v>
      </c>
      <c r="AV8">
        <v>7.0560000000000009</v>
      </c>
      <c r="AW8">
        <v>0</v>
      </c>
      <c r="AX8">
        <v>0</v>
      </c>
      <c r="AY8">
        <v>0</v>
      </c>
      <c r="AZ8">
        <v>0</v>
      </c>
      <c r="BA8">
        <v>1.61</v>
      </c>
      <c r="BB8">
        <v>0</v>
      </c>
      <c r="BC8">
        <v>0</v>
      </c>
      <c r="BD8">
        <v>0</v>
      </c>
      <c r="BE8">
        <v>0</v>
      </c>
      <c r="BF8">
        <v>0.42</v>
      </c>
      <c r="BG8">
        <v>0</v>
      </c>
      <c r="BH8">
        <v>0</v>
      </c>
      <c r="BI8">
        <v>0</v>
      </c>
      <c r="BJ8">
        <v>810.20663105644257</v>
      </c>
    </row>
    <row r="9" spans="1:62" x14ac:dyDescent="0.2">
      <c r="A9">
        <v>2032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7.6000000000000004E-4</v>
      </c>
      <c r="N9">
        <v>0</v>
      </c>
      <c r="O9">
        <v>0</v>
      </c>
      <c r="P9">
        <v>2.5590434399999921E-2</v>
      </c>
      <c r="Q9">
        <v>0</v>
      </c>
      <c r="R9">
        <v>0</v>
      </c>
      <c r="S9">
        <v>0</v>
      </c>
      <c r="T9">
        <v>0</v>
      </c>
      <c r="U9">
        <v>0</v>
      </c>
      <c r="V9">
        <v>36.411107930680252</v>
      </c>
      <c r="W9">
        <v>12.432</v>
      </c>
      <c r="X9">
        <v>0</v>
      </c>
      <c r="Y9">
        <v>0</v>
      </c>
      <c r="Z9">
        <v>672.53904644366764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69.787283751741981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5.04</v>
      </c>
      <c r="AR9">
        <v>0</v>
      </c>
      <c r="AS9">
        <v>0</v>
      </c>
      <c r="AT9">
        <v>0</v>
      </c>
      <c r="AU9">
        <v>0</v>
      </c>
      <c r="AV9">
        <v>7.0560000000000009</v>
      </c>
      <c r="AW9">
        <v>0</v>
      </c>
      <c r="AX9">
        <v>0</v>
      </c>
      <c r="AY9">
        <v>0</v>
      </c>
      <c r="AZ9">
        <v>2.0669918184663256</v>
      </c>
      <c r="BA9">
        <v>1.5375809407999996</v>
      </c>
      <c r="BB9">
        <v>0</v>
      </c>
      <c r="BC9">
        <v>0</v>
      </c>
      <c r="BD9">
        <v>0</v>
      </c>
      <c r="BE9">
        <v>0.2190601586471253</v>
      </c>
      <c r="BF9">
        <v>0.15336762368000018</v>
      </c>
      <c r="BG9">
        <v>0</v>
      </c>
      <c r="BH9">
        <v>0</v>
      </c>
      <c r="BI9">
        <v>0</v>
      </c>
      <c r="BJ9">
        <v>857.97459322225893</v>
      </c>
    </row>
    <row r="10" spans="1:62" x14ac:dyDescent="0.2">
      <c r="A10">
        <v>2033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7.6000000000000004E-4</v>
      </c>
      <c r="N10">
        <v>0</v>
      </c>
      <c r="O10">
        <v>0</v>
      </c>
      <c r="P10">
        <v>2.3222510399999962E-2</v>
      </c>
      <c r="Q10">
        <v>0</v>
      </c>
      <c r="R10">
        <v>0</v>
      </c>
      <c r="S10">
        <v>0</v>
      </c>
      <c r="T10">
        <v>0</v>
      </c>
      <c r="U10">
        <v>0</v>
      </c>
      <c r="V10">
        <v>37.395191928806746</v>
      </c>
      <c r="W10">
        <v>12.768000000000001</v>
      </c>
      <c r="X10">
        <v>0</v>
      </c>
      <c r="Y10">
        <v>0</v>
      </c>
      <c r="Z10">
        <v>793.95291393797413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64.157375557265198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5.04</v>
      </c>
      <c r="AR10">
        <v>0</v>
      </c>
      <c r="AS10">
        <v>0</v>
      </c>
      <c r="AT10">
        <v>0</v>
      </c>
      <c r="AU10">
        <v>0</v>
      </c>
      <c r="AV10">
        <v>7.0560000000000009</v>
      </c>
      <c r="AW10">
        <v>0</v>
      </c>
      <c r="AX10">
        <v>0</v>
      </c>
      <c r="AY10">
        <v>0</v>
      </c>
      <c r="AZ10">
        <v>2.1016751235863049</v>
      </c>
      <c r="BA10">
        <v>1.5633809407999997</v>
      </c>
      <c r="BB10">
        <v>0</v>
      </c>
      <c r="BC10">
        <v>0</v>
      </c>
      <c r="BD10">
        <v>0</v>
      </c>
      <c r="BE10">
        <v>0.2190601586471253</v>
      </c>
      <c r="BF10">
        <v>0.15336762368000018</v>
      </c>
      <c r="BG10">
        <v>0</v>
      </c>
      <c r="BH10">
        <v>0</v>
      </c>
      <c r="BI10">
        <v>0</v>
      </c>
      <c r="BJ10">
        <v>748.06538575197283</v>
      </c>
    </row>
    <row r="11" spans="1:62" x14ac:dyDescent="0.2">
      <c r="A11">
        <v>2034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7.6000000000000004E-4</v>
      </c>
      <c r="N11">
        <v>0</v>
      </c>
      <c r="O11">
        <v>0</v>
      </c>
      <c r="P11">
        <v>2.6166083733333394E-2</v>
      </c>
      <c r="Q11">
        <v>0</v>
      </c>
      <c r="R11">
        <v>0</v>
      </c>
      <c r="S11">
        <v>0</v>
      </c>
      <c r="T11">
        <v>0</v>
      </c>
      <c r="U11">
        <v>0</v>
      </c>
      <c r="V11">
        <v>38.051247927557739</v>
      </c>
      <c r="W11">
        <v>12.992000000000001</v>
      </c>
      <c r="X11">
        <v>0</v>
      </c>
      <c r="Y11">
        <v>0</v>
      </c>
      <c r="Z11">
        <v>683.84548071102256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69.717913501626342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5.04</v>
      </c>
      <c r="AR11">
        <v>0</v>
      </c>
      <c r="AS11">
        <v>0</v>
      </c>
      <c r="AT11">
        <v>0</v>
      </c>
      <c r="AU11">
        <v>0</v>
      </c>
      <c r="AV11">
        <v>7.0560000000000009</v>
      </c>
      <c r="AW11">
        <v>0</v>
      </c>
      <c r="AX11">
        <v>0</v>
      </c>
      <c r="AY11">
        <v>0</v>
      </c>
      <c r="AZ11">
        <v>2.1016751235863049</v>
      </c>
      <c r="BA11">
        <v>1.5633809407999997</v>
      </c>
      <c r="BB11">
        <v>0</v>
      </c>
      <c r="BC11">
        <v>0</v>
      </c>
      <c r="BD11">
        <v>0</v>
      </c>
      <c r="BE11">
        <v>0.2190601586471253</v>
      </c>
      <c r="BF11">
        <v>0.15336762368000018</v>
      </c>
      <c r="BG11">
        <v>0</v>
      </c>
      <c r="BH11">
        <v>0</v>
      </c>
      <c r="BI11">
        <v>0</v>
      </c>
      <c r="BJ11">
        <v>847.79094928782251</v>
      </c>
    </row>
    <row r="12" spans="1:62" x14ac:dyDescent="0.2">
      <c r="A12">
        <v>2035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7.6000000000000004E-4</v>
      </c>
      <c r="N12">
        <v>0</v>
      </c>
      <c r="O12">
        <v>0</v>
      </c>
      <c r="P12">
        <v>2.5007457777777797E-2</v>
      </c>
      <c r="Q12">
        <v>0</v>
      </c>
      <c r="R12">
        <v>0</v>
      </c>
      <c r="S12">
        <v>0</v>
      </c>
      <c r="T12">
        <v>0</v>
      </c>
      <c r="U12">
        <v>0</v>
      </c>
      <c r="V12">
        <v>39.035331925684233</v>
      </c>
      <c r="W12">
        <v>13.327999999999999</v>
      </c>
      <c r="X12">
        <v>0</v>
      </c>
      <c r="Y12">
        <v>0</v>
      </c>
      <c r="Z12">
        <v>724.96942381657857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67.77142477506024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5.04</v>
      </c>
      <c r="AR12">
        <v>0</v>
      </c>
      <c r="AS12">
        <v>0</v>
      </c>
      <c r="AT12">
        <v>0</v>
      </c>
      <c r="AU12">
        <v>0</v>
      </c>
      <c r="AV12">
        <v>7.0560000000000009</v>
      </c>
      <c r="AW12">
        <v>0</v>
      </c>
      <c r="AX12">
        <v>0</v>
      </c>
      <c r="AY12">
        <v>0</v>
      </c>
      <c r="AZ12">
        <v>2.1016751235863049</v>
      </c>
      <c r="BA12">
        <v>1.5633809407999997</v>
      </c>
      <c r="BB12">
        <v>0</v>
      </c>
      <c r="BC12">
        <v>0</v>
      </c>
      <c r="BD12">
        <v>0</v>
      </c>
      <c r="BE12">
        <v>0.24065656549799613</v>
      </c>
      <c r="BF12">
        <v>0.1684876236800002</v>
      </c>
      <c r="BG12">
        <v>0</v>
      </c>
      <c r="BH12">
        <v>0</v>
      </c>
      <c r="BI12">
        <v>0</v>
      </c>
      <c r="BJ12">
        <v>815.45834294050849</v>
      </c>
    </row>
    <row r="13" spans="1:62" x14ac:dyDescent="0.2">
      <c r="A13">
        <v>2036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7.6000000000000004E-4</v>
      </c>
      <c r="N13">
        <v>0</v>
      </c>
      <c r="O13">
        <v>0</v>
      </c>
      <c r="P13">
        <v>2.3896819466666691E-2</v>
      </c>
      <c r="Q13">
        <v>0</v>
      </c>
      <c r="R13">
        <v>0</v>
      </c>
      <c r="S13">
        <v>0</v>
      </c>
      <c r="T13">
        <v>0</v>
      </c>
      <c r="U13">
        <v>0</v>
      </c>
      <c r="V13">
        <v>41.659555920688213</v>
      </c>
      <c r="W13">
        <v>14.224</v>
      </c>
      <c r="X13">
        <v>0</v>
      </c>
      <c r="Y13">
        <v>0</v>
      </c>
      <c r="Z13">
        <v>782.16415952727391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65.748013455661365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5.04</v>
      </c>
      <c r="AR13">
        <v>0</v>
      </c>
      <c r="AS13">
        <v>0</v>
      </c>
      <c r="AT13">
        <v>0</v>
      </c>
      <c r="AU13">
        <v>0</v>
      </c>
      <c r="AV13">
        <v>7.0560000000000009</v>
      </c>
      <c r="AW13">
        <v>0</v>
      </c>
      <c r="AX13">
        <v>0</v>
      </c>
      <c r="AY13">
        <v>0</v>
      </c>
      <c r="AZ13">
        <v>2.1016751235863049</v>
      </c>
      <c r="BA13">
        <v>1.5633809407999997</v>
      </c>
      <c r="BB13">
        <v>0</v>
      </c>
      <c r="BC13">
        <v>0</v>
      </c>
      <c r="BD13">
        <v>0</v>
      </c>
      <c r="BE13">
        <v>0.24065656549799613</v>
      </c>
      <c r="BF13">
        <v>0.1684876236800002</v>
      </c>
      <c r="BG13">
        <v>0</v>
      </c>
      <c r="BH13">
        <v>0</v>
      </c>
      <c r="BI13">
        <v>0</v>
      </c>
      <c r="BJ13">
        <v>756.72060694896868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F2D69-22C2-5741-AB50-0427CCDE2A43}">
  <dimension ref="A1:E14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 x14ac:dyDescent="0.2">
      <c r="A2">
        <v>2025</v>
      </c>
      <c r="B2">
        <v>0</v>
      </c>
      <c r="C2">
        <v>14.290792494028761</v>
      </c>
      <c r="D2">
        <v>203.25605607685534</v>
      </c>
      <c r="E2">
        <v>0</v>
      </c>
    </row>
    <row r="3" spans="1:5" x14ac:dyDescent="0.2">
      <c r="A3">
        <v>2026</v>
      </c>
      <c r="B3">
        <v>34.114911935051772</v>
      </c>
      <c r="C3">
        <v>28.850792494028767</v>
      </c>
      <c r="D3">
        <v>111.96753168513703</v>
      </c>
      <c r="E3">
        <v>0</v>
      </c>
    </row>
    <row r="4" spans="1:5" x14ac:dyDescent="0.2">
      <c r="A4">
        <v>2027</v>
      </c>
      <c r="B4">
        <v>34.44294008697986</v>
      </c>
      <c r="C4">
        <v>28.990792559137116</v>
      </c>
      <c r="D4">
        <v>120.02959257432886</v>
      </c>
      <c r="E4">
        <v>0</v>
      </c>
    </row>
    <row r="5" spans="1:5" x14ac:dyDescent="0.2">
      <c r="A5">
        <v>2028</v>
      </c>
      <c r="B5">
        <v>34.44294008697986</v>
      </c>
      <c r="C5">
        <v>28.990792559137116</v>
      </c>
      <c r="D5">
        <v>127.07646322055736</v>
      </c>
      <c r="E5">
        <v>0</v>
      </c>
    </row>
    <row r="6" spans="1:5" x14ac:dyDescent="0.2">
      <c r="A6">
        <v>2029</v>
      </c>
      <c r="B6">
        <v>35.098995933178259</v>
      </c>
      <c r="C6">
        <v>29.270792494028761</v>
      </c>
      <c r="D6">
        <v>127.44114519284354</v>
      </c>
      <c r="E6">
        <v>0</v>
      </c>
    </row>
    <row r="7" spans="1:5" x14ac:dyDescent="0.2">
      <c r="A7">
        <v>2030</v>
      </c>
      <c r="B7">
        <v>35.098995933178259</v>
      </c>
      <c r="C7">
        <v>29.270792494028761</v>
      </c>
      <c r="D7">
        <v>131.60500078624545</v>
      </c>
      <c r="E7">
        <v>0</v>
      </c>
    </row>
    <row r="8" spans="1:5" x14ac:dyDescent="0.2">
      <c r="A8">
        <v>2031</v>
      </c>
      <c r="B8">
        <v>36.411107930680252</v>
      </c>
      <c r="C8">
        <v>29.830792494028763</v>
      </c>
      <c r="D8">
        <v>128.06246510490968</v>
      </c>
      <c r="E8">
        <v>0</v>
      </c>
    </row>
    <row r="9" spans="1:5" x14ac:dyDescent="0.2">
      <c r="A9">
        <v>2032</v>
      </c>
      <c r="B9">
        <v>38.697159907793704</v>
      </c>
      <c r="C9">
        <v>29.491741058508762</v>
      </c>
      <c r="D9">
        <v>137.567350360852</v>
      </c>
      <c r="E9">
        <v>0</v>
      </c>
    </row>
    <row r="10" spans="1:5" x14ac:dyDescent="0.2">
      <c r="A10">
        <v>2033</v>
      </c>
      <c r="B10">
        <v>39.715927211040174</v>
      </c>
      <c r="C10">
        <v>29.93754105850876</v>
      </c>
      <c r="D10">
        <v>125.39182251414167</v>
      </c>
      <c r="E10">
        <v>0</v>
      </c>
    </row>
    <row r="11" spans="1:5" x14ac:dyDescent="0.2">
      <c r="A11">
        <v>2034</v>
      </c>
      <c r="B11">
        <v>40.371983209791168</v>
      </c>
      <c r="C11">
        <v>30.217541058508765</v>
      </c>
      <c r="D11">
        <v>141.91708079966082</v>
      </c>
      <c r="E11">
        <v>0</v>
      </c>
    </row>
    <row r="12" spans="1:5" x14ac:dyDescent="0.2">
      <c r="A12">
        <v>2035</v>
      </c>
      <c r="B12">
        <v>41.377663614768529</v>
      </c>
      <c r="C12">
        <v>30.652661058508759</v>
      </c>
      <c r="D12">
        <v>139.95697227345826</v>
      </c>
      <c r="E12">
        <v>0</v>
      </c>
    </row>
    <row r="13" spans="1:5" x14ac:dyDescent="0.2">
      <c r="A13">
        <v>2036</v>
      </c>
      <c r="B13">
        <v>44.00188760977251</v>
      </c>
      <c r="C13">
        <v>31.77266105850876</v>
      </c>
      <c r="D13">
        <v>133.58589135668043</v>
      </c>
      <c r="E13">
        <v>0</v>
      </c>
    </row>
    <row r="14" spans="1:5" x14ac:dyDescent="0.2">
      <c r="A14" t="s">
        <v>126</v>
      </c>
      <c r="B14">
        <v>413.77451345921435</v>
      </c>
      <c r="C14">
        <v>341.56769288096189</v>
      </c>
      <c r="D14">
        <v>1627.8573719456704</v>
      </c>
      <c r="E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9757-16BA-B340-AB81-7D592343C9C6}">
  <dimension ref="A1:I14"/>
  <sheetViews>
    <sheetView tabSelected="1" workbookViewId="0">
      <selection activeCell="I15" sqref="I15"/>
    </sheetView>
  </sheetViews>
  <sheetFormatPr baseColWidth="10" defaultRowHeight="16" x14ac:dyDescent="0.2"/>
  <sheetData>
    <row r="1" spans="1:9" x14ac:dyDescent="0.2">
      <c r="A1" t="s">
        <v>6</v>
      </c>
      <c r="B1" t="s">
        <v>127</v>
      </c>
      <c r="C1" t="s">
        <v>128</v>
      </c>
      <c r="D1" t="s">
        <v>125</v>
      </c>
      <c r="F1" t="s">
        <v>129</v>
      </c>
      <c r="G1" t="s">
        <v>130</v>
      </c>
      <c r="H1" t="s">
        <v>131</v>
      </c>
    </row>
    <row r="2" spans="1:9" x14ac:dyDescent="0.2">
      <c r="A2">
        <v>2025</v>
      </c>
      <c r="B2">
        <v>0</v>
      </c>
      <c r="C2">
        <v>900.26900815150179</v>
      </c>
      <c r="D2">
        <v>0</v>
      </c>
      <c r="F2">
        <v>233.46131813087914</v>
      </c>
      <c r="G2">
        <v>666.80769002036982</v>
      </c>
      <c r="H2">
        <v>0</v>
      </c>
    </row>
    <row r="3" spans="1:9" x14ac:dyDescent="0.2">
      <c r="A3">
        <v>2026</v>
      </c>
      <c r="B3">
        <v>342.16000000000008</v>
      </c>
      <c r="C3">
        <v>557.45677136049369</v>
      </c>
      <c r="D3">
        <v>6.3114434782608715</v>
      </c>
      <c r="F3">
        <v>238.81940291528565</v>
      </c>
      <c r="G3">
        <v>318.63736844533076</v>
      </c>
      <c r="H3">
        <v>348.47144347826094</v>
      </c>
    </row>
    <row r="4" spans="1:9" x14ac:dyDescent="0.2">
      <c r="A4">
        <v>2027</v>
      </c>
      <c r="B4">
        <v>3.2900015300462706</v>
      </c>
      <c r="C4">
        <v>569.28686188269819</v>
      </c>
      <c r="D4">
        <v>6.0686984744794295E-2</v>
      </c>
      <c r="F4">
        <v>240.27790836892498</v>
      </c>
      <c r="G4">
        <v>329.00895351388925</v>
      </c>
      <c r="H4">
        <v>3.3506885147910648</v>
      </c>
    </row>
    <row r="5" spans="1:9" x14ac:dyDescent="0.2">
      <c r="A5">
        <v>2028</v>
      </c>
      <c r="B5">
        <v>0</v>
      </c>
      <c r="C5">
        <v>570.21518491667825</v>
      </c>
      <c r="D5">
        <v>0</v>
      </c>
      <c r="F5">
        <v>244.87561757555648</v>
      </c>
      <c r="G5">
        <v>325.33956734123927</v>
      </c>
      <c r="H5">
        <v>0</v>
      </c>
    </row>
    <row r="6" spans="1:9" x14ac:dyDescent="0.2">
      <c r="A6">
        <v>2029</v>
      </c>
      <c r="B6">
        <v>6.5799984699536838</v>
      </c>
      <c r="C6">
        <v>542.10828016442736</v>
      </c>
      <c r="D6">
        <v>0.12137388482042226</v>
      </c>
      <c r="F6">
        <v>238.66369349158023</v>
      </c>
      <c r="G6">
        <v>303.44458667300569</v>
      </c>
      <c r="H6">
        <v>6.7013723547741062</v>
      </c>
    </row>
    <row r="7" spans="1:9" x14ac:dyDescent="0.2">
      <c r="A7">
        <v>2030</v>
      </c>
      <c r="B7">
        <v>0</v>
      </c>
      <c r="C7">
        <v>541.63775688144187</v>
      </c>
      <c r="D7">
        <v>0</v>
      </c>
      <c r="F7">
        <v>243.26285725526225</v>
      </c>
      <c r="G7">
        <v>298.37489962633992</v>
      </c>
      <c r="H7">
        <v>0</v>
      </c>
    </row>
    <row r="8" spans="1:9" x14ac:dyDescent="0.2">
      <c r="A8">
        <v>2031</v>
      </c>
      <c r="B8">
        <v>13.16000000000005</v>
      </c>
      <c r="C8">
        <v>513.29878272792598</v>
      </c>
      <c r="D8">
        <v>0.24274782608695741</v>
      </c>
      <c r="F8">
        <v>237.82852816893251</v>
      </c>
      <c r="G8">
        <v>275.47025455918703</v>
      </c>
      <c r="H8">
        <v>13.402747826087007</v>
      </c>
    </row>
    <row r="9" spans="1:9" x14ac:dyDescent="0.2">
      <c r="A9">
        <v>2032</v>
      </c>
      <c r="B9">
        <v>0</v>
      </c>
      <c r="C9">
        <v>507.66129661221288</v>
      </c>
      <c r="D9">
        <v>0</v>
      </c>
      <c r="F9">
        <v>241.68917271351017</v>
      </c>
      <c r="G9">
        <v>265.97212389889984</v>
      </c>
      <c r="H9">
        <v>0</v>
      </c>
    </row>
    <row r="10" spans="1:9" x14ac:dyDescent="0.2">
      <c r="A10">
        <v>2033</v>
      </c>
      <c r="B10">
        <v>9.8699999999999548</v>
      </c>
      <c r="C10">
        <v>467.74894467881404</v>
      </c>
      <c r="D10">
        <v>0.18206086956521655</v>
      </c>
      <c r="F10">
        <v>250.80998281088901</v>
      </c>
      <c r="G10">
        <v>216.93896186808686</v>
      </c>
      <c r="H10">
        <v>10.052060869565171</v>
      </c>
    </row>
    <row r="11" spans="1:9" x14ac:dyDescent="0.2">
      <c r="A11">
        <v>2034</v>
      </c>
      <c r="B11">
        <v>6.5800000000001875</v>
      </c>
      <c r="C11">
        <v>478.29000092343034</v>
      </c>
      <c r="D11">
        <v>0.12137391304348173</v>
      </c>
      <c r="F11">
        <v>245.14748986947777</v>
      </c>
      <c r="G11">
        <v>233.1425110541297</v>
      </c>
      <c r="H11">
        <v>6.7013739130436694</v>
      </c>
    </row>
    <row r="12" spans="1:9" x14ac:dyDescent="0.2">
      <c r="A12">
        <v>2035</v>
      </c>
      <c r="B12">
        <v>9.8699999999998145</v>
      </c>
      <c r="C12">
        <v>456.94396615626101</v>
      </c>
      <c r="D12">
        <v>0.18206086956521397</v>
      </c>
      <c r="F12">
        <v>244.92479699191344</v>
      </c>
      <c r="G12">
        <v>212.01916916450813</v>
      </c>
      <c r="H12">
        <v>10.052060869565029</v>
      </c>
    </row>
    <row r="13" spans="1:9" x14ac:dyDescent="0.2">
      <c r="A13">
        <v>2036</v>
      </c>
      <c r="B13">
        <v>26.320000000000004</v>
      </c>
      <c r="C13">
        <v>422.68044458690048</v>
      </c>
      <c r="D13">
        <v>0.48549565217391311</v>
      </c>
      <c r="F13">
        <v>241.06749891925838</v>
      </c>
      <c r="G13">
        <v>181.6129456677798</v>
      </c>
      <c r="H13">
        <v>26.805495652173917</v>
      </c>
    </row>
    <row r="14" spans="1:9" x14ac:dyDescent="0.2">
      <c r="A14" t="s">
        <v>126</v>
      </c>
      <c r="B14">
        <v>417.83000000000004</v>
      </c>
      <c r="C14">
        <v>6527.5972990427854</v>
      </c>
      <c r="D14">
        <v>7.7072434782608719</v>
      </c>
      <c r="F14">
        <v>2900.8282672114697</v>
      </c>
      <c r="G14">
        <v>3626.7690318327668</v>
      </c>
      <c r="H14">
        <v>425.5372434782609</v>
      </c>
      <c r="I14">
        <f>SUM(F14:H14)</f>
        <v>6953.1345425224981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F878-B8DD-8B4E-9889-7727951B9550}">
  <dimension ref="A1:G13"/>
  <sheetViews>
    <sheetView workbookViewId="0"/>
  </sheetViews>
  <sheetFormatPr baseColWidth="10" defaultRowHeight="16" x14ac:dyDescent="0.2"/>
  <sheetData>
    <row r="1" spans="1:7" x14ac:dyDescent="0.2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 x14ac:dyDescent="0.2">
      <c r="A2">
        <v>2025</v>
      </c>
      <c r="B2">
        <v>3.1721305600000124E-2</v>
      </c>
      <c r="C2">
        <v>0</v>
      </c>
      <c r="D2">
        <v>0</v>
      </c>
      <c r="E2">
        <v>0</v>
      </c>
      <c r="F2">
        <v>85.847999999989426</v>
      </c>
      <c r="G2">
        <v>1550.7155581867864</v>
      </c>
    </row>
    <row r="3" spans="1:7" x14ac:dyDescent="0.2">
      <c r="A3">
        <v>2026</v>
      </c>
      <c r="B3">
        <v>2.5112962577777866E-2</v>
      </c>
      <c r="C3">
        <v>0</v>
      </c>
      <c r="D3">
        <v>760.1494240430635</v>
      </c>
      <c r="E3">
        <v>0</v>
      </c>
      <c r="F3">
        <v>66.88735744690598</v>
      </c>
      <c r="G3">
        <v>777.16431328124747</v>
      </c>
    </row>
    <row r="4" spans="1:7" x14ac:dyDescent="0.2">
      <c r="A4">
        <v>2027</v>
      </c>
      <c r="B4">
        <v>2.5448120958198598E-2</v>
      </c>
      <c r="C4">
        <v>0</v>
      </c>
      <c r="D4">
        <v>714.82821128514342</v>
      </c>
      <c r="E4">
        <v>0</v>
      </c>
      <c r="F4">
        <v>69.374285973218932</v>
      </c>
      <c r="G4">
        <v>822.52238378479626</v>
      </c>
    </row>
    <row r="5" spans="1:7" x14ac:dyDescent="0.2">
      <c r="A5">
        <v>2028</v>
      </c>
      <c r="B5">
        <v>2.160030969738826E-2</v>
      </c>
      <c r="C5">
        <v>0</v>
      </c>
      <c r="D5">
        <v>676.63477729307931</v>
      </c>
      <c r="E5">
        <v>0</v>
      </c>
      <c r="F5">
        <v>70.675377512887934</v>
      </c>
      <c r="G5">
        <v>856.15675616112503</v>
      </c>
    </row>
    <row r="6" spans="1:7" x14ac:dyDescent="0.2">
      <c r="A6">
        <v>2029</v>
      </c>
      <c r="B6">
        <v>2.4968654844444493E-2</v>
      </c>
      <c r="C6">
        <v>0</v>
      </c>
      <c r="D6">
        <v>688.72547011491372</v>
      </c>
      <c r="E6">
        <v>0</v>
      </c>
      <c r="F6">
        <v>70.039296439895978</v>
      </c>
      <c r="G6">
        <v>842.90162964732031</v>
      </c>
    </row>
    <row r="7" spans="1:7" x14ac:dyDescent="0.2">
      <c r="A7">
        <v>2030</v>
      </c>
      <c r="B7">
        <v>2.5890952977777791E-2</v>
      </c>
      <c r="C7">
        <v>0</v>
      </c>
      <c r="D7">
        <v>682.43443962369918</v>
      </c>
      <c r="E7">
        <v>0</v>
      </c>
      <c r="F7">
        <v>69.795461512308393</v>
      </c>
      <c r="G7">
        <v>852.49971321803559</v>
      </c>
    </row>
    <row r="8" spans="1:7" x14ac:dyDescent="0.2">
      <c r="A8">
        <v>2031</v>
      </c>
      <c r="B8">
        <v>2.5192543587021731E-2</v>
      </c>
      <c r="C8">
        <v>0</v>
      </c>
      <c r="D8">
        <v>726.64868905579408</v>
      </c>
      <c r="E8">
        <v>0</v>
      </c>
      <c r="F8">
        <v>68.529885711039896</v>
      </c>
      <c r="G8">
        <v>810.20663105644257</v>
      </c>
    </row>
    <row r="9" spans="1:7" x14ac:dyDescent="0.2">
      <c r="A9">
        <v>2032</v>
      </c>
      <c r="B9">
        <v>2.5590434399999921E-2</v>
      </c>
      <c r="C9">
        <v>0</v>
      </c>
      <c r="D9">
        <v>672.53904644366764</v>
      </c>
      <c r="E9">
        <v>0</v>
      </c>
      <c r="F9">
        <v>69.787283751741981</v>
      </c>
      <c r="G9">
        <v>857.97459322225893</v>
      </c>
    </row>
    <row r="10" spans="1:7" x14ac:dyDescent="0.2">
      <c r="A10">
        <v>2033</v>
      </c>
      <c r="B10">
        <v>2.3222510399999962E-2</v>
      </c>
      <c r="C10">
        <v>0</v>
      </c>
      <c r="D10">
        <v>793.95291393797413</v>
      </c>
      <c r="E10">
        <v>0</v>
      </c>
      <c r="F10">
        <v>64.157375557265198</v>
      </c>
      <c r="G10">
        <v>748.06538575197283</v>
      </c>
    </row>
    <row r="11" spans="1:7" x14ac:dyDescent="0.2">
      <c r="A11">
        <v>2034</v>
      </c>
      <c r="B11">
        <v>2.6166083733333394E-2</v>
      </c>
      <c r="C11">
        <v>0</v>
      </c>
      <c r="D11">
        <v>683.84548071102256</v>
      </c>
      <c r="E11">
        <v>0</v>
      </c>
      <c r="F11">
        <v>69.717913501626342</v>
      </c>
      <c r="G11">
        <v>847.79094928782251</v>
      </c>
    </row>
    <row r="12" spans="1:7" x14ac:dyDescent="0.2">
      <c r="A12">
        <v>2035</v>
      </c>
      <c r="B12">
        <v>2.5007457777777797E-2</v>
      </c>
      <c r="C12">
        <v>0</v>
      </c>
      <c r="D12">
        <v>724.96942381657857</v>
      </c>
      <c r="E12">
        <v>0</v>
      </c>
      <c r="F12">
        <v>67.77142477506024</v>
      </c>
      <c r="G12">
        <v>815.45834294050849</v>
      </c>
    </row>
    <row r="13" spans="1:7" x14ac:dyDescent="0.2">
      <c r="A13">
        <v>2036</v>
      </c>
      <c r="B13">
        <v>2.3896819466666691E-2</v>
      </c>
      <c r="C13">
        <v>0</v>
      </c>
      <c r="D13">
        <v>782.16415952727391</v>
      </c>
      <c r="E13">
        <v>0</v>
      </c>
      <c r="F13">
        <v>65.748013455661365</v>
      </c>
      <c r="G13">
        <v>756.72060694896868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A568-F127-AE40-8CF1-B7F07175C863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133</v>
      </c>
      <c r="C1" t="s">
        <v>134</v>
      </c>
      <c r="D1" t="s">
        <v>135</v>
      </c>
    </row>
    <row r="2" spans="1:4" x14ac:dyDescent="0.2">
      <c r="A2">
        <v>2025</v>
      </c>
      <c r="B2">
        <v>0</v>
      </c>
      <c r="C2">
        <v>95.559375000000017</v>
      </c>
      <c r="D2">
        <v>83973.973469387784</v>
      </c>
    </row>
    <row r="3" spans="1:4" x14ac:dyDescent="0.2">
      <c r="A3">
        <v>2026</v>
      </c>
      <c r="B3">
        <v>0</v>
      </c>
      <c r="C3">
        <v>12890.910661968337</v>
      </c>
      <c r="D3">
        <v>53085.852220755281</v>
      </c>
    </row>
    <row r="4" spans="1:4" x14ac:dyDescent="0.2">
      <c r="A4">
        <v>2027</v>
      </c>
      <c r="B4">
        <v>0</v>
      </c>
      <c r="C4">
        <v>9901.9242204777129</v>
      </c>
      <c r="D4">
        <v>54042.837243769747</v>
      </c>
    </row>
    <row r="5" spans="1:4" x14ac:dyDescent="0.2">
      <c r="A5">
        <v>2028</v>
      </c>
      <c r="B5">
        <v>0</v>
      </c>
      <c r="C5">
        <v>9109.6061786840419</v>
      </c>
      <c r="D5">
        <v>55887.369434328692</v>
      </c>
    </row>
    <row r="6" spans="1:4" x14ac:dyDescent="0.2">
      <c r="A6">
        <v>2029</v>
      </c>
      <c r="B6">
        <v>0</v>
      </c>
      <c r="C6">
        <v>9085.1492030281115</v>
      </c>
      <c r="D6">
        <v>55029.455622512462</v>
      </c>
    </row>
    <row r="7" spans="1:4" x14ac:dyDescent="0.2">
      <c r="A7">
        <v>2030</v>
      </c>
      <c r="B7">
        <v>0</v>
      </c>
      <c r="C7">
        <v>10535.187730031143</v>
      </c>
      <c r="D7">
        <v>57131.363115081513</v>
      </c>
    </row>
    <row r="8" spans="1:4" x14ac:dyDescent="0.2">
      <c r="A8">
        <v>2031</v>
      </c>
      <c r="B8">
        <v>0</v>
      </c>
      <c r="C8">
        <v>9569.893881127</v>
      </c>
      <c r="D8">
        <v>54136.014200080252</v>
      </c>
    </row>
    <row r="9" spans="1:4" x14ac:dyDescent="0.2">
      <c r="A9">
        <v>2032</v>
      </c>
      <c r="B9">
        <v>0</v>
      </c>
      <c r="C9">
        <v>7956.0463085176871</v>
      </c>
      <c r="D9">
        <v>59514.400369947536</v>
      </c>
    </row>
    <row r="10" spans="1:4" x14ac:dyDescent="0.2">
      <c r="A10">
        <v>2033</v>
      </c>
      <c r="B10">
        <v>0</v>
      </c>
      <c r="C10">
        <v>9775.8104845950129</v>
      </c>
      <c r="D10">
        <v>55571.119683529563</v>
      </c>
    </row>
    <row r="11" spans="1:4" x14ac:dyDescent="0.2">
      <c r="A11">
        <v>2034</v>
      </c>
      <c r="B11">
        <v>0</v>
      </c>
      <c r="C11">
        <v>6986.2012141838686</v>
      </c>
      <c r="D11">
        <v>58377.046145838787</v>
      </c>
    </row>
    <row r="12" spans="1:4" x14ac:dyDescent="0.2">
      <c r="A12">
        <v>2035</v>
      </c>
      <c r="B12">
        <v>0</v>
      </c>
      <c r="C12">
        <v>9837.880985386666</v>
      </c>
      <c r="D12">
        <v>56392.038948318645</v>
      </c>
    </row>
    <row r="13" spans="1:4" x14ac:dyDescent="0.2">
      <c r="A13">
        <v>2036</v>
      </c>
      <c r="B13">
        <v>0</v>
      </c>
      <c r="C13">
        <v>9977.0688419182225</v>
      </c>
      <c r="D13">
        <v>57544.930552216429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B7A0-6A80-354E-BF61-B7EF42E62952}">
  <dimension ref="A1:H13"/>
  <sheetViews>
    <sheetView workbookViewId="0"/>
  </sheetViews>
  <sheetFormatPr baseColWidth="10" defaultRowHeight="16" x14ac:dyDescent="0.2"/>
  <sheetData>
    <row r="1" spans="1:8" x14ac:dyDescent="0.2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 x14ac:dyDescent="0.2">
      <c r="A2">
        <v>2025</v>
      </c>
      <c r="B2">
        <v>2.8027861230116797</v>
      </c>
      <c r="C2">
        <v>40.091015999995058</v>
      </c>
      <c r="D2">
        <v>0</v>
      </c>
      <c r="E2">
        <v>0</v>
      </c>
      <c r="F2">
        <v>0.183474</v>
      </c>
      <c r="G2">
        <v>755.19847683696491</v>
      </c>
      <c r="H2">
        <v>798.27575295997167</v>
      </c>
    </row>
    <row r="3" spans="1:8" x14ac:dyDescent="0.2">
      <c r="A3">
        <v>2026</v>
      </c>
      <c r="B3">
        <v>2.8094347800059949</v>
      </c>
      <c r="C3">
        <v>31.236395927705093</v>
      </c>
      <c r="D3">
        <v>0</v>
      </c>
      <c r="E3">
        <v>0</v>
      </c>
      <c r="F3">
        <v>24.750548470979126</v>
      </c>
      <c r="G3">
        <v>364.60997938244435</v>
      </c>
      <c r="H3">
        <v>423.40635856113454</v>
      </c>
    </row>
    <row r="4" spans="1:8" x14ac:dyDescent="0.2">
      <c r="A4">
        <v>2027</v>
      </c>
      <c r="B4">
        <v>2.8210006633491602</v>
      </c>
      <c r="C4">
        <v>32.397791549493235</v>
      </c>
      <c r="D4">
        <v>0</v>
      </c>
      <c r="E4">
        <v>0</v>
      </c>
      <c r="F4">
        <v>19.011694503317219</v>
      </c>
      <c r="G4">
        <v>378.56757218172004</v>
      </c>
      <c r="H4">
        <v>432.79805889787963</v>
      </c>
    </row>
    <row r="5" spans="1:8" x14ac:dyDescent="0.2">
      <c r="A5">
        <v>2028</v>
      </c>
      <c r="B5">
        <v>2.8063256995753831</v>
      </c>
      <c r="C5">
        <v>33.005401298518663</v>
      </c>
      <c r="D5">
        <v>0</v>
      </c>
      <c r="E5">
        <v>0</v>
      </c>
      <c r="F5">
        <v>17.490443863073402</v>
      </c>
      <c r="G5">
        <v>378.80433075592373</v>
      </c>
      <c r="H5">
        <v>432.10650161709117</v>
      </c>
    </row>
    <row r="6" spans="1:8" x14ac:dyDescent="0.2">
      <c r="A6">
        <v>2029</v>
      </c>
      <c r="B6">
        <v>2.8081843365385941</v>
      </c>
      <c r="C6">
        <v>32.708351437431418</v>
      </c>
      <c r="D6">
        <v>0</v>
      </c>
      <c r="E6">
        <v>0</v>
      </c>
      <c r="F6">
        <v>17.443486469814015</v>
      </c>
      <c r="G6">
        <v>357.93210813800101</v>
      </c>
      <c r="H6">
        <v>410.89213038178502</v>
      </c>
    </row>
    <row r="7" spans="1:8" x14ac:dyDescent="0.2">
      <c r="A7">
        <v>2030</v>
      </c>
      <c r="B7">
        <v>2.8062898941830627</v>
      </c>
      <c r="C7">
        <v>32.59448052624802</v>
      </c>
      <c r="D7">
        <v>0</v>
      </c>
      <c r="E7">
        <v>0</v>
      </c>
      <c r="F7">
        <v>20.227560441659872</v>
      </c>
      <c r="G7">
        <v>354.41865702312271</v>
      </c>
      <c r="H7">
        <v>410.04698788521364</v>
      </c>
    </row>
    <row r="8" spans="1:8" x14ac:dyDescent="0.2">
      <c r="A8">
        <v>2031</v>
      </c>
      <c r="B8">
        <v>2.8119481768675358</v>
      </c>
      <c r="C8">
        <v>32.003456627055627</v>
      </c>
      <c r="D8">
        <v>0</v>
      </c>
      <c r="E8">
        <v>0</v>
      </c>
      <c r="F8">
        <v>18.37419625176376</v>
      </c>
      <c r="G8">
        <v>329.62300740706718</v>
      </c>
      <c r="H8">
        <v>382.8126084627541</v>
      </c>
    </row>
    <row r="9" spans="1:8" x14ac:dyDescent="0.2">
      <c r="A9">
        <v>2032</v>
      </c>
      <c r="B9">
        <v>2.8132948525975796</v>
      </c>
      <c r="C9">
        <v>32.590661512063505</v>
      </c>
      <c r="D9">
        <v>0</v>
      </c>
      <c r="E9">
        <v>0</v>
      </c>
      <c r="F9">
        <v>15.275608912353883</v>
      </c>
      <c r="G9">
        <v>326.14299748854853</v>
      </c>
      <c r="H9">
        <v>376.82256276556348</v>
      </c>
    </row>
    <row r="10" spans="1:8" x14ac:dyDescent="0.2">
      <c r="A10">
        <v>2033</v>
      </c>
      <c r="B10">
        <v>2.8093831853458293</v>
      </c>
      <c r="C10">
        <v>29.961494385242847</v>
      </c>
      <c r="D10">
        <v>0</v>
      </c>
      <c r="E10">
        <v>0</v>
      </c>
      <c r="F10">
        <v>18.769556130422213</v>
      </c>
      <c r="G10">
        <v>271.04406260373929</v>
      </c>
      <c r="H10">
        <v>322.58449630475019</v>
      </c>
    </row>
    <row r="11" spans="1:8" x14ac:dyDescent="0.2">
      <c r="A11">
        <v>2034</v>
      </c>
      <c r="B11">
        <v>2.8097528548428086</v>
      </c>
      <c r="C11">
        <v>32.5582656052595</v>
      </c>
      <c r="D11">
        <v>0</v>
      </c>
      <c r="E11">
        <v>0</v>
      </c>
      <c r="F11">
        <v>13.413506331233059</v>
      </c>
      <c r="G11">
        <v>295.85636289355659</v>
      </c>
      <c r="H11">
        <v>344.63788768489195</v>
      </c>
    </row>
    <row r="12" spans="1:8" x14ac:dyDescent="0.2">
      <c r="A12">
        <v>2035</v>
      </c>
      <c r="B12">
        <v>2.82844454532523</v>
      </c>
      <c r="C12">
        <v>31.649255369953128</v>
      </c>
      <c r="D12">
        <v>0</v>
      </c>
      <c r="E12">
        <v>0</v>
      </c>
      <c r="F12">
        <v>18.888731491942462</v>
      </c>
      <c r="G12">
        <v>273.68396596602486</v>
      </c>
      <c r="H12">
        <v>327.05039737324569</v>
      </c>
    </row>
    <row r="13" spans="1:8" x14ac:dyDescent="0.2">
      <c r="A13">
        <v>2036</v>
      </c>
      <c r="B13">
        <v>2.808361773682917</v>
      </c>
      <c r="C13">
        <v>30.704322283793854</v>
      </c>
      <c r="D13">
        <v>0</v>
      </c>
      <c r="E13">
        <v>0</v>
      </c>
      <c r="F13">
        <v>19.15597217648309</v>
      </c>
      <c r="G13">
        <v>240.4973110416079</v>
      </c>
      <c r="H13">
        <v>293.16596727556777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B14D-F962-0243-994F-6265622CCAB0}">
  <dimension ref="A1:E13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 x14ac:dyDescent="0.2">
      <c r="A2">
        <v>2025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2026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2027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2028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2029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2030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2031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2032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2033</v>
      </c>
      <c r="B10">
        <v>-2.6755116956547754E-7</v>
      </c>
      <c r="C10">
        <v>-1.9287301557390348E-7</v>
      </c>
      <c r="D10">
        <v>0</v>
      </c>
      <c r="E10">
        <v>0</v>
      </c>
    </row>
    <row r="11" spans="1:5" x14ac:dyDescent="0.2">
      <c r="A11">
        <v>2034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2035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2036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9871-5E3B-CA48-A55F-4C8CA577206F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147</v>
      </c>
      <c r="C1" t="s">
        <v>148</v>
      </c>
      <c r="D1" t="s">
        <v>149</v>
      </c>
    </row>
    <row r="2" spans="1:4" x14ac:dyDescent="0.2">
      <c r="A2">
        <v>2025</v>
      </c>
      <c r="B2">
        <v>0</v>
      </c>
      <c r="C2">
        <v>1138.8356981992181</v>
      </c>
      <c r="D2">
        <v>0</v>
      </c>
    </row>
    <row r="3" spans="1:4" x14ac:dyDescent="0.2">
      <c r="A3">
        <v>2026</v>
      </c>
      <c r="B3">
        <v>0</v>
      </c>
      <c r="C3">
        <v>1164.9726971477651</v>
      </c>
      <c r="D3">
        <v>0</v>
      </c>
    </row>
    <row r="4" spans="1:4" x14ac:dyDescent="0.2">
      <c r="A4">
        <v>2027</v>
      </c>
      <c r="B4">
        <v>0</v>
      </c>
      <c r="C4">
        <v>1172.087357897241</v>
      </c>
      <c r="D4">
        <v>0</v>
      </c>
    </row>
    <row r="5" spans="1:4" x14ac:dyDescent="0.2">
      <c r="A5">
        <v>2028</v>
      </c>
      <c r="B5">
        <v>0</v>
      </c>
      <c r="C5">
        <v>1194.5152076857537</v>
      </c>
      <c r="D5">
        <v>0</v>
      </c>
    </row>
    <row r="6" spans="1:4" x14ac:dyDescent="0.2">
      <c r="A6">
        <v>2029</v>
      </c>
      <c r="B6">
        <v>0</v>
      </c>
      <c r="C6">
        <v>1164.2131389833239</v>
      </c>
      <c r="D6">
        <v>0</v>
      </c>
    </row>
    <row r="7" spans="1:4" x14ac:dyDescent="0.2">
      <c r="A7">
        <v>2030</v>
      </c>
      <c r="B7">
        <v>0</v>
      </c>
      <c r="C7">
        <v>1186.648084172095</v>
      </c>
      <c r="D7">
        <v>0</v>
      </c>
    </row>
    <row r="8" spans="1:4" x14ac:dyDescent="0.2">
      <c r="A8">
        <v>2031</v>
      </c>
      <c r="B8">
        <v>0</v>
      </c>
      <c r="C8">
        <v>1160.1391617996785</v>
      </c>
      <c r="D8">
        <v>0</v>
      </c>
    </row>
    <row r="9" spans="1:4" x14ac:dyDescent="0.2">
      <c r="A9">
        <v>2032</v>
      </c>
      <c r="B9">
        <v>0</v>
      </c>
      <c r="C9">
        <v>1178.971574212309</v>
      </c>
      <c r="D9">
        <v>0</v>
      </c>
    </row>
    <row r="10" spans="1:4" x14ac:dyDescent="0.2">
      <c r="A10">
        <v>2033</v>
      </c>
      <c r="B10">
        <v>0</v>
      </c>
      <c r="C10">
        <v>1223.4633307850697</v>
      </c>
      <c r="D10">
        <v>0</v>
      </c>
    </row>
    <row r="11" spans="1:4" x14ac:dyDescent="0.2">
      <c r="A11">
        <v>2034</v>
      </c>
      <c r="B11">
        <v>0</v>
      </c>
      <c r="C11">
        <v>1195.8414139975168</v>
      </c>
      <c r="D11">
        <v>0</v>
      </c>
    </row>
    <row r="12" spans="1:4" x14ac:dyDescent="0.2">
      <c r="A12">
        <v>2035</v>
      </c>
      <c r="B12">
        <v>0</v>
      </c>
      <c r="C12">
        <v>1194.7551072777567</v>
      </c>
      <c r="D12">
        <v>0</v>
      </c>
    </row>
    <row r="13" spans="1:4" x14ac:dyDescent="0.2">
      <c r="A13">
        <v>2036</v>
      </c>
      <c r="B13">
        <v>0</v>
      </c>
      <c r="C13">
        <v>1175.9390191184075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Metadata</vt:lpstr>
      <vt:lpstr>Capacity_Exp_Dec</vt:lpstr>
      <vt:lpstr>Land_use</vt:lpstr>
      <vt:lpstr>EoL_summary</vt:lpstr>
      <vt:lpstr>LCOE_annual</vt:lpstr>
      <vt:lpstr>LCOE_breakdown</vt:lpstr>
      <vt:lpstr>Costs_summary</vt:lpstr>
      <vt:lpstr>Emissions_summary</vt:lpstr>
      <vt:lpstr>Generation_Summary</vt:lpstr>
      <vt:lpstr>Consumption_Summary</vt:lpstr>
      <vt:lpstr>Water_Consumption</vt:lpstr>
      <vt:lpstr>Storage_Summary</vt:lpstr>
      <vt:lpstr>Fuel_Consumption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Parth Rakeshkumar Brahmbhatt</cp:lastModifiedBy>
  <dcterms:created xsi:type="dcterms:W3CDTF">2018-05-22T02:41:32Z</dcterms:created>
  <dcterms:modified xsi:type="dcterms:W3CDTF">2026-02-11T16:07:58Z</dcterms:modified>
</cp:coreProperties>
</file>